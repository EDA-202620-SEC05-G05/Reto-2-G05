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Thomx\Downloads\"/>
    </mc:Choice>
  </mc:AlternateContent>
  <xr:revisionPtr revIDLastSave="0" documentId="13_ncr:1_{641F3842-90B2-42BD-B143-543A7F8A54AB}" xr6:coauthVersionLast="47" xr6:coauthVersionMax="47" xr10:uidLastSave="{00000000-0000-0000-0000-000000000000}"/>
  <bookViews>
    <workbookView xWindow="-108" yWindow="-108" windowWidth="23256" windowHeight="13896" xr2:uid="{D82936D8-D2C9-4EB2-9CBC-3665F65B95FD}"/>
  </bookViews>
  <sheets>
    <sheet name="01-Data Req. 4" sheetId="1" r:id="rId1"/>
    <sheet name="02-Gráfica Req. 4" sheetId="8" r:id="rId2"/>
    <sheet name="03-Análisis Req. 4" sheetId="9"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6" i="1" l="1"/>
  <c r="L7" i="1" s="1"/>
  <c r="B26" i="1"/>
  <c r="H25" i="1"/>
  <c r="B25" i="1"/>
  <c r="H24" i="1"/>
  <c r="L6" i="1" s="1"/>
  <c r="B24" i="1"/>
  <c r="H23" i="1"/>
  <c r="B23" i="1"/>
  <c r="H22" i="1"/>
  <c r="L5" i="1" s="1"/>
  <c r="B22" i="1"/>
  <c r="H21" i="1"/>
  <c r="B21" i="1"/>
  <c r="H20" i="1"/>
  <c r="L4" i="1" s="1"/>
  <c r="B20" i="1"/>
  <c r="H19" i="1"/>
  <c r="B19" i="1"/>
  <c r="H18" i="1"/>
  <c r="L3" i="1" s="1"/>
  <c r="B18" i="1"/>
  <c r="H17" i="1"/>
  <c r="B17" i="1"/>
  <c r="H12" i="1"/>
  <c r="K7" i="1" s="1"/>
  <c r="B12" i="1"/>
  <c r="H11" i="1"/>
  <c r="B11" i="1"/>
  <c r="H10" i="1"/>
  <c r="K6" i="1" s="1"/>
  <c r="B10" i="1"/>
  <c r="H9" i="1"/>
  <c r="B9" i="1"/>
  <c r="H8" i="1"/>
  <c r="K5" i="1" s="1"/>
  <c r="B8" i="1"/>
  <c r="J7" i="1"/>
  <c r="H7" i="1"/>
  <c r="B7" i="1"/>
  <c r="J6" i="1"/>
  <c r="H6" i="1"/>
  <c r="K4" i="1" s="1"/>
  <c r="B6" i="1"/>
  <c r="J5" i="1"/>
  <c r="H5" i="1"/>
  <c r="B5" i="1"/>
  <c r="J4" i="1"/>
  <c r="H4" i="1"/>
  <c r="K3" i="1" s="1"/>
  <c r="B4" i="1"/>
  <c r="J3" i="1"/>
  <c r="H3" i="1"/>
  <c r="B3" i="1"/>
</calcChain>
</file>

<file path=xl/sharedStrings.xml><?xml version="1.0" encoding="utf-8"?>
<sst xmlns="http://schemas.openxmlformats.org/spreadsheetml/2006/main" count="32" uniqueCount="27">
  <si>
    <t>TIEMPOS PARA REQUERIMIENTO 4 - RETO 1</t>
  </si>
  <si>
    <t>Porcentaje de la muestra</t>
  </si>
  <si>
    <t>Tamaño de la muestra</t>
  </si>
  <si>
    <t>Tiempo1</t>
  </si>
  <si>
    <t>Tiempo2</t>
  </si>
  <si>
    <t>Tiempo3</t>
  </si>
  <si>
    <t>Tiempo4</t>
  </si>
  <si>
    <t>Tiempo5</t>
  </si>
  <si>
    <t>Tiempo promedio (Reto 1)</t>
  </si>
  <si>
    <t>TIEMPOS PARA REQUERIMIENTO 4 - RETO 2</t>
  </si>
  <si>
    <t>Tiempo 1</t>
  </si>
  <si>
    <t>Tiempo 2</t>
  </si>
  <si>
    <t>Tiempo 3</t>
  </si>
  <si>
    <t>Tiempo 4</t>
  </si>
  <si>
    <t>Tiempo 5</t>
  </si>
  <si>
    <t>Tiempo promedio (Reto 2)</t>
  </si>
  <si>
    <t>Preguntas de análisis</t>
  </si>
  <si>
    <t>Respuestas</t>
  </si>
  <si>
    <t>Al analizar los tiempos promedio obtenidos para el requerimiento 4 en el Reto 1 y el Reto 2, ¿Qué diferencias se observan en el comportamiento a medida que aumenta el tamaño del archivo .csv? Explicar qué indican esos resultados sobre el rendimiento temporal de cada estructura de datos.</t>
  </si>
  <si>
    <t>Comparar la complejidad temporal teórica del requerimiento 4 implementado con las estructuras de datos del reto 1 frente a la implementación con tablas hash. ¿Teóricamente sobre cual Estructura de Datos se tiene mejor eficiencia temporal? ¿Los resultados experimentales demuestran el mismo resultado?</t>
  </si>
  <si>
    <t>A partir del análisis teórico y experimental realizado, ¿qué conclusión puede obtener sobre el impacto de la estructura de datos en el rendimiento de un algoritmo? ¿Es importante la selección de una estructura de datos específica según el tipo de requerimiento?</t>
  </si>
  <si>
    <t>DATOS PARA LA GRÁFICA (porcentajes medidos)</t>
  </si>
  <si>
    <t>595.49</t>
  </si>
  <si>
    <t>591.23</t>
  </si>
  <si>
    <t>Reto 2: el tiempo promedio crece de forma proporcional al tamaño del archivo: 9.27 ms (20 %), 18.27 ms (40 %), 27.35 ms (60 %), 35.54 ms (80 %) y 46.42 ms (100 %). El tiempo por cada 1000 pedidos se mantiene casi constante, o sea este requerimiento en el reto 2 tiene un comportamiento lineal.
Reto 1: el tiempo crece mucho más rápido que el tamaño: 28.86 ms (20 %), 103.50 ms (40 %), 221.55 ms (60 %), 378.28 ms (80 %) y 3489.91 ms (100 %). Al duplicar el tamaño de 20 % a 40 % el tiempo se multiplica por 3.6, y la relación tiempo/n² se mantiene casi constante lo que indica un crecimiento cercano al cuadrático.
Esto indica que la estructura del Reto 2 escala mucho mejor y que la diferencia entre ambos retos pasa de 3.1 veces (20 %) a 13.0 veces (100 %, sin atípicos) y sigue ampliándose a medida que crece el archivo.</t>
  </si>
  <si>
    <t>Teoría. Reto 1 : hay que recorrer la lista completa de pedidos para filtrar por producto y país, O(n), y luego obtener los dos pedidos de mayor Amount entre los k que cumplen el filtro; si se ordena la lista filtrada el costo es O(k log k) con merge/quick sort u O(k²) con inserción/selección. Como k es proporcional a n pues el costo es al menos O(n). Con el Reto 2 : se llega al grupo de la combinación en O(1) promedio, sin recorrer los n pedidos, y se hace una sola pasada sobre sus k pedidos para los promedios y los dos mayores Amount O(1 + k). Teóricamente la tabla hash es más eficiente porque evita el recorrido completo y el ordenamiento.
Resultados. Sí, los experimentos confirman la teoría el Reto 2 es más rápido en todos los tamaños (9.27 ms frente a 28.86 ms al 20 %; 46.42 ms frente a 603.18 ms al 100 % sin atípicos, o 3489.91 ms con ellos) y la brecha crece con el tamaño. Una observacion q se aprecia en la grafica es que el Reto 2 no se ve constante (O(1)) sino lineal, porque la tabla solo da acceso inmediato al grupo; calcular los promedios exige leer los k pedidos del grupo que crecen con n, la mejora viene de eliminar el recorrido de los n pedidos y el ordenamiento no de resolver la consulta en tiempo constante.</t>
  </si>
  <si>
    <t xml:space="preserve">La estructura de datos determina cómo escala un algoritmo en caso de que usemos la misma consulta y los mismos datos, pasar de listas con búsqueda secuencial (crecimiento cercano al cuadrático en nuestras mediciones) a una tabla hash (crecimiento lineal) redujo el tiempo de 603.18 ms a 46.42 ms con el archivo completo (13 veces menos), y la diferencia aumenta con el tamaño de los datos.
Por eso sí es importante elegir la estructura según el tipo de requerimiento en este caso cuando la consulta es una búsqueda por llave exacta (producto-país, fecha, mes, país), la tabla hash da acceso directo al grupo, cuando se necesita un orden o recorrer todos los datos, otras estructuras o algoritmos de ordenamiento pueden ser más adecuados. También hay un costo con la tabla hash que se construye durante la carga para que cada consulta posterior sea rápida, y ese costo vale la pena cuando se hacen varias consultas sobre los mismos datos.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</si>
</sst>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Dax-Regular"/>
    </font>
    <font>
      <b/>
      <sz val="11"/>
      <color rgb="FF000000"/>
      <name val="Dax-Regular"/>
    </font>
    <font>
      <b/>
      <sz val="11"/>
      <color theme="1"/>
      <name val="Dax-Regular"/>
    </font>
    <font>
      <sz val="11"/>
      <color theme="0"/>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rgb="FFF69E76"/>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10" fontId="1" fillId="0" borderId="0" xfId="0" applyNumberFormat="1" applyFont="1" applyAlignment="1">
      <alignment horizontal="center" vertical="center" wrapText="1"/>
    </xf>
    <xf numFmtId="2" fontId="1" fillId="0" borderId="0" xfId="0" applyNumberFormat="1" applyFont="1" applyAlignment="1">
      <alignment horizontal="center" vertical="center"/>
    </xf>
    <xf numFmtId="0" fontId="2" fillId="0" borderId="0" xfId="0" applyFont="1" applyAlignment="1">
      <alignment horizontal="center" vertical="center" wrapText="1"/>
    </xf>
    <xf numFmtId="0" fontId="3" fillId="0" borderId="0" xfId="0" applyFont="1"/>
    <xf numFmtId="0" fontId="4" fillId="0" borderId="0" xfId="0" applyFont="1"/>
    <xf numFmtId="0" fontId="0" fillId="0" borderId="1" xfId="0" applyBorder="1"/>
    <xf numFmtId="0" fontId="0" fillId="4" borderId="1" xfId="0" applyFill="1" applyBorder="1" applyAlignment="1">
      <alignment horizontal="left" vertical="center" wrapText="1"/>
    </xf>
    <xf numFmtId="10" fontId="3" fillId="0" borderId="0" xfId="0" applyNumberFormat="1" applyFont="1" applyAlignment="1">
      <alignment horizontal="center" vertical="center" wrapText="1"/>
    </xf>
    <xf numFmtId="2" fontId="3" fillId="0" borderId="0" xfId="0" applyNumberFormat="1" applyFont="1" applyAlignment="1">
      <alignment horizontal="center" vertical="center"/>
    </xf>
    <xf numFmtId="2" fontId="2" fillId="0" borderId="0" xfId="0" applyNumberFormat="1" applyFont="1" applyAlignment="1">
      <alignment horizontal="center" vertical="center" wrapText="1"/>
    </xf>
    <xf numFmtId="0" fontId="0" fillId="0" borderId="1" xfId="0" applyBorder="1" applyAlignment="1">
      <alignment horizontal="left" vertical="top" wrapText="1"/>
    </xf>
    <xf numFmtId="0" fontId="5" fillId="2" borderId="0" xfId="0" applyFont="1" applyFill="1" applyAlignment="1">
      <alignment horizontal="center" vertical="center"/>
    </xf>
    <xf numFmtId="0" fontId="5" fillId="3" borderId="0" xfId="0" applyFont="1" applyFill="1" applyAlignment="1">
      <alignment horizontal="center"/>
    </xf>
  </cellXfs>
  <cellStyles count="1">
    <cellStyle name="Normal" xfId="0" builtinId="0"/>
  </cellStyles>
  <dxfs count="20">
    <dxf>
      <font>
        <b/>
        <i val="0"/>
        <strike val="0"/>
        <condense val="0"/>
        <extend val="0"/>
        <outline val="0"/>
        <shadow val="0"/>
        <u val="none"/>
        <vertAlign val="baseline"/>
        <sz val="11"/>
        <color rgb="FF000000"/>
        <name val="Dax-Regular"/>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fill>
        <patternFill patternType="none">
          <fgColor indexed="64"/>
          <bgColor indexed="65"/>
        </patternFill>
      </fill>
      <alignment horizontal="justify" vertical="center" textRotation="0" wrapText="1" indent="0" justifyLastLine="0" shrinkToFit="0" readingOrder="0"/>
    </dxf>
    <dxf>
      <font>
        <b/>
        <i val="0"/>
        <strike val="0"/>
        <condense val="0"/>
        <extend val="0"/>
        <outline val="0"/>
        <shadow val="0"/>
        <u val="none"/>
        <vertAlign val="baseline"/>
        <sz val="11"/>
        <color rgb="FF000000"/>
        <name val="Dax-Regular"/>
        <scheme val="none"/>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1"/>
        <color rgb="FF000000"/>
        <name val="Dax-Regular"/>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1"/>
        <color rgb="FF000000"/>
        <name val="Dax-Regular"/>
        <scheme val="none"/>
      </font>
      <fill>
        <patternFill patternType="none">
          <fgColor indexed="64"/>
          <bgColor indexed="65"/>
        </patternFill>
      </fill>
      <alignment horizontal="center" vertical="center" textRotation="0" wrapText="1" indent="0" justifyLastLine="0" shrinkToFit="0" readingOrder="0"/>
    </dxf>
  </dxfs>
  <tableStyles count="0" defaultTableStyle="TableStyleMedium2" defaultPivotStyle="PivotStyleLight16"/>
  <colors>
    <mruColors>
      <color rgb="FFF69E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2.xml"/><Relationship Id="rId7" Type="http://schemas.openxmlformats.org/officeDocument/2006/relationships/calcChain" Target="calcChain.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Comparación de tiempos de ejecucion para</a:t>
            </a:r>
            <a:r>
              <a:rPr lang="en-US" b="1" baseline="0"/>
              <a:t> el Requerimiento 4</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'01-Data Req. 4'!$K$2</c:f>
              <c:strCache>
                <c:ptCount val="1"/>
                <c:pt idx="0">
                  <c:v>Tiempo promedio (Reto 1)</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363811854896437"/>
                  <c:y val="-3.2945200031814204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'01-Data Req. 4'!$J$3:$J$7</c:f>
              <c:numCache>
                <c:formatCode>0.00%</c:formatCode>
                <c:ptCount val="5"/>
                <c:pt idx="0">
                  <c:v>0.2</c:v>
                </c:pt>
                <c:pt idx="1">
                  <c:v>0.4</c:v>
                </c:pt>
                <c:pt idx="2">
                  <c:v>0.6</c:v>
                </c:pt>
                <c:pt idx="3">
                  <c:v>0.8</c:v>
                </c:pt>
                <c:pt idx="4">
                  <c:v>1</c:v>
                </c:pt>
              </c:numCache>
            </c:numRef>
          </c:xVal>
          <c:yVal>
            <c:numRef>
              <c:f>'01-Data Req. 4'!$K$3:$K$7</c:f>
              <c:numCache>
                <c:formatCode>0.00</c:formatCode>
                <c:ptCount val="5"/>
                <c:pt idx="0">
                  <c:v>28.859999999999996</c:v>
                </c:pt>
                <c:pt idx="1">
                  <c:v>103.498</c:v>
                </c:pt>
                <c:pt idx="2">
                  <c:v>221.548</c:v>
                </c:pt>
                <c:pt idx="3">
                  <c:v>378.28</c:v>
                </c:pt>
                <c:pt idx="4">
                  <c:v>603.17999999999995</c:v>
                </c:pt>
              </c:numCache>
            </c:numRef>
          </c:yVal>
          <c:smooth val="0"/>
          <c:extLst>
            <c:ext xmlns:c16="http://schemas.microsoft.com/office/drawing/2014/chart" uri="{C3380CC4-5D6E-409C-BE32-E72D297353CC}">
              <c16:uniqueId val="{00000000-B3D4-4A09-BEFF-C643A08A798B}"/>
            </c:ext>
          </c:extLst>
        </c:ser>
        <c:ser>
          <c:idx val="1"/>
          <c:order val="1"/>
          <c:tx>
            <c:strRef>
              <c:f>'01-Data Req. 4'!$L$2</c:f>
              <c:strCache>
                <c:ptCount val="1"/>
                <c:pt idx="0">
                  <c:v>Tiempo promedio (Reto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593553005287829E-2"/>
                  <c:y val="0.1237672790901137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'01-Data Req. 4'!$J$3:$J$7</c:f>
              <c:numCache>
                <c:formatCode>0.00%</c:formatCode>
                <c:ptCount val="5"/>
                <c:pt idx="0">
                  <c:v>0.2</c:v>
                </c:pt>
                <c:pt idx="1">
                  <c:v>0.4</c:v>
                </c:pt>
                <c:pt idx="2">
                  <c:v>0.6</c:v>
                </c:pt>
                <c:pt idx="3">
                  <c:v>0.8</c:v>
                </c:pt>
                <c:pt idx="4">
                  <c:v>1</c:v>
                </c:pt>
              </c:numCache>
            </c:numRef>
          </c:xVal>
          <c:yVal>
            <c:numRef>
              <c:f>'01-Data Req. 4'!$L$3:$L$7</c:f>
              <c:numCache>
                <c:formatCode>0.00</c:formatCode>
                <c:ptCount val="5"/>
                <c:pt idx="0">
                  <c:v>9.2680000000000007</c:v>
                </c:pt>
                <c:pt idx="1">
                  <c:v>18.267599999999998</c:v>
                </c:pt>
                <c:pt idx="2">
                  <c:v>27.350599999999996</c:v>
                </c:pt>
                <c:pt idx="3">
                  <c:v>35.538800000000002</c:v>
                </c:pt>
                <c:pt idx="4">
                  <c:v>46.415999999999997</c:v>
                </c:pt>
              </c:numCache>
            </c:numRef>
          </c:yVal>
          <c:smooth val="0"/>
          <c:extLst>
            <c:ext xmlns:c16="http://schemas.microsoft.com/office/drawing/2014/chart" uri="{C3380CC4-5D6E-409C-BE32-E72D297353CC}">
              <c16:uniqueId val="{00000001-B3D4-4A09-BEFF-C643A08A798B}"/>
            </c:ext>
          </c:extLst>
        </c:ser>
        <c:dLbls>
          <c:showLegendKey val="0"/>
          <c:showVal val="0"/>
          <c:showCatName val="0"/>
          <c:showSerName val="0"/>
          <c:showPercent val="0"/>
          <c:showBubbleSize val="0"/>
        </c:dLbls>
        <c:axId val="1328118000"/>
        <c:axId val="1328121328"/>
      </c:scatterChart>
      <c:valAx>
        <c:axId val="132811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Tamaño</a:t>
                </a:r>
                <a:r>
                  <a:rPr lang="en-US" b="1" baseline="0"/>
                  <a:t> de la muestra [Porcentaje]</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21328"/>
        <c:crosses val="autoZero"/>
        <c:crossBetween val="midCat"/>
      </c:valAx>
      <c:valAx>
        <c:axId val="1328121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Tiempo de Ejecución [ms]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180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D4D373F-B89D-476A-916E-D6B8B50B0AC1}">
  <sheetPr>
    <tabColor theme="9" tint="0.59999389629810485"/>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5966460" cy="3840480"/>
    <xdr:graphicFrame macro="">
      <xdr:nvGraphicFramePr>
        <xdr:cNvPr id="2" name="Chart 1">
          <a:extLst>
            <a:ext uri="{FF2B5EF4-FFF2-40B4-BE49-F238E27FC236}">
              <a16:creationId xmlns:a16="http://schemas.microsoft.com/office/drawing/2014/main" id="{E62ACB43-BF23-44E0-A2C1-1BE0D48E226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2D0253-75B0-4C0B-8972-D03303899249}" name="Table1" displayName="Table1" ref="A2:H12" totalsRowShown="0" headerRowDxfId="19" dataDxfId="18">
  <autoFilter ref="A2:H12" xr:uid="{072D0253-75B0-4C0B-8972-D0330389924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7AF2A2F-BC4B-404E-9B8B-256DA178E68B}" name="Porcentaje de la muestra" dataDxfId="17"/>
    <tableColumn id="2" xr3:uid="{23CECC62-35E0-466E-9502-4F5CC2E6F7A7}" name="Tamaño de la muestra" dataDxfId="16">
      <calculatedColumnFormula>Table1[[#This Row],[Porcentaje de la muestra]]*100000</calculatedColumnFormula>
    </tableColumn>
    <tableColumn id="6" xr3:uid="{1D7A89FD-B4C8-4B63-8144-3D2813CE09D2}" name="Tiempo1" dataDxfId="15"/>
    <tableColumn id="7" xr3:uid="{694553F5-E3D6-4DD7-9F82-2F775378069C}" name="Tiempo2" dataDxfId="14"/>
    <tableColumn id="10" xr3:uid="{DC77D538-1BF6-4CC8-A666-55E3AECB1094}" name="Tiempo3" dataDxfId="13"/>
    <tableColumn id="12" xr3:uid="{55DDEB9A-1D37-47AF-A22B-DCDED00B45F1}" name="Tiempo4" dataDxfId="12"/>
    <tableColumn id="13" xr3:uid="{18627A96-D9BD-4918-AC15-00FEC9F6C145}" name="Tiempo5" dataDxfId="11"/>
    <tableColumn id="3" xr3:uid="{19B1D273-887B-4392-991E-015D36D99E5B}" name="Tiempo promedio (Reto 1)" dataDxfId="10">
      <calculatedColumnFormula>AVERAGE(Table1[[#This Row],[Tiempo1]:[Tiempo5]])</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5EFFA4-2B65-46C5-8257-6884800B9577}" name="Table13" displayName="Table13" ref="A16:H26" totalsRowShown="0" headerRowDxfId="9" dataDxfId="8">
  <autoFilter ref="A16:H26" xr:uid="{5C24B5A8-1B8E-4092-B34A-66FF5413D10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6584851-71BC-4FF5-B248-C3F46BA653AF}" name="Porcentaje de la muestra" dataDxfId="7"/>
    <tableColumn id="2" xr3:uid="{4F9B7329-040C-4D35-96E7-B9181424DC65}" name="Tamaño de la muestra" dataDxfId="6">
      <calculatedColumnFormula>Table13[[#This Row],[Porcentaje de la muestra]]*100000</calculatedColumnFormula>
    </tableColumn>
    <tableColumn id="6" xr3:uid="{73B8EDF2-52F3-4761-86EF-C7C71418F742}" name="Tiempo 1" dataDxfId="5"/>
    <tableColumn id="7" xr3:uid="{1E7534A5-4635-46DD-9452-9E4AA3B877EC}" name="Tiempo 2" dataDxfId="4"/>
    <tableColumn id="10" xr3:uid="{24936BC1-C83A-4407-814F-11214A4E9891}" name="Tiempo 3" dataDxfId="3"/>
    <tableColumn id="12" xr3:uid="{EBD8DFA2-3D20-4288-8498-555F04A9538F}" name="Tiempo 4" dataDxfId="2"/>
    <tableColumn id="13" xr3:uid="{44A85E6E-039D-4504-AD1E-8FF29C055C05}" name="Tiempo 5" dataDxfId="1"/>
    <tableColumn id="3" xr3:uid="{BDA028DF-4CED-4928-B040-96AD8F8A43EB}" name="Tiempo promedio (Reto 2)" dataDxfId="0">
      <calculatedColumnFormula>AVERAGE(Table13[[#This Row],[Tiempo 1]:[Tiempo 5]])</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14742-4EBB-4241-AC8A-0E5F24F7BB7B}">
  <dimension ref="A1:L29"/>
  <sheetViews>
    <sheetView tabSelected="1" zoomScale="130" zoomScaleNormal="130" workbookViewId="0">
      <selection activeCell="A28" sqref="A28"/>
    </sheetView>
  </sheetViews>
  <sheetFormatPr baseColWidth="10" defaultColWidth="8.77734375" defaultRowHeight="14.4"/>
  <cols>
    <col min="1" max="1" width="19.109375" style="1" bestFit="1" customWidth="1"/>
    <col min="2" max="2" width="25.44140625" style="1" bestFit="1" customWidth="1"/>
    <col min="3" max="4" width="10.44140625" style="1" bestFit="1" customWidth="1"/>
    <col min="5" max="5" width="10.44140625" style="6" bestFit="1" customWidth="1"/>
    <col min="6" max="7" width="10.44140625" bestFit="1" customWidth="1"/>
    <col min="8" max="12" width="24.44140625" customWidth="1"/>
  </cols>
  <sheetData>
    <row r="1" spans="1:12" ht="14.25" customHeight="1">
      <c r="C1" s="13" t="s">
        <v>0</v>
      </c>
      <c r="D1" s="13"/>
      <c r="E1" s="13"/>
      <c r="F1" s="13"/>
      <c r="G1" s="13"/>
      <c r="H1" s="13"/>
      <c r="J1" s="13" t="s">
        <v>21</v>
      </c>
      <c r="K1" s="13"/>
      <c r="L1" s="13"/>
    </row>
    <row r="2" spans="1:12" s="5" customFormat="1" ht="27.6">
      <c r="A2" s="4" t="s">
        <v>1</v>
      </c>
      <c r="B2" s="4" t="s">
        <v>2</v>
      </c>
      <c r="C2" s="4" t="s">
        <v>3</v>
      </c>
      <c r="D2" s="4" t="s">
        <v>4</v>
      </c>
      <c r="E2" s="4" t="s">
        <v>5</v>
      </c>
      <c r="F2" s="4" t="s">
        <v>6</v>
      </c>
      <c r="G2" s="4" t="s">
        <v>7</v>
      </c>
      <c r="H2" s="4" t="s">
        <v>8</v>
      </c>
      <c r="J2" s="4" t="s">
        <v>1</v>
      </c>
      <c r="K2" s="4" t="s">
        <v>8</v>
      </c>
      <c r="L2" s="4" t="s">
        <v>15</v>
      </c>
    </row>
    <row r="3" spans="1:12" s="5" customFormat="1" ht="13.8">
      <c r="A3" s="9">
        <v>0.1</v>
      </c>
      <c r="B3" s="10">
        <f>Table1[[#This Row],[Porcentaje de la muestra]]*100000</f>
        <v>10000</v>
      </c>
      <c r="C3" s="10">
        <v>0</v>
      </c>
      <c r="D3" s="10">
        <v>0</v>
      </c>
      <c r="E3" s="10">
        <v>0</v>
      </c>
      <c r="F3" s="10">
        <v>0</v>
      </c>
      <c r="G3" s="10">
        <v>0</v>
      </c>
      <c r="H3" s="11">
        <f>AVERAGE(Table1[[#This Row],[Tiempo1]:[Tiempo5]])</f>
        <v>0</v>
      </c>
      <c r="J3" s="2">
        <f>A4</f>
        <v>0.2</v>
      </c>
      <c r="K3" s="3">
        <f>H4</f>
        <v>28.859999999999996</v>
      </c>
      <c r="L3" s="3">
        <f>H18</f>
        <v>9.2680000000000007</v>
      </c>
    </row>
    <row r="4" spans="1:12" s="5" customFormat="1" ht="13.8">
      <c r="A4" s="2">
        <v>0.2</v>
      </c>
      <c r="B4" s="3">
        <f>Table1[[#This Row],[Porcentaje de la muestra]]*100000</f>
        <v>20000</v>
      </c>
      <c r="C4" s="3">
        <v>28.82</v>
      </c>
      <c r="D4" s="3">
        <v>29.98</v>
      </c>
      <c r="E4" s="3">
        <v>29.9</v>
      </c>
      <c r="F4" s="3">
        <v>28.26</v>
      </c>
      <c r="G4" s="3">
        <v>27.34</v>
      </c>
      <c r="H4" s="11">
        <f>AVERAGE(Table1[[#This Row],[Tiempo1]:[Tiempo5]])</f>
        <v>28.859999999999996</v>
      </c>
      <c r="J4" s="2">
        <f>A6</f>
        <v>0.4</v>
      </c>
      <c r="K4" s="3">
        <f>H6</f>
        <v>103.498</v>
      </c>
      <c r="L4" s="3">
        <f>H20</f>
        <v>18.267599999999998</v>
      </c>
    </row>
    <row r="5" spans="1:12">
      <c r="A5" s="9">
        <v>0.3</v>
      </c>
      <c r="B5" s="10">
        <f>Table1[[#This Row],[Porcentaje de la muestra]]*100000</f>
        <v>30000</v>
      </c>
      <c r="C5" s="10">
        <v>0</v>
      </c>
      <c r="D5" s="10">
        <v>0</v>
      </c>
      <c r="E5" s="10">
        <v>0</v>
      </c>
      <c r="F5" s="10">
        <v>0</v>
      </c>
      <c r="G5" s="10">
        <v>0</v>
      </c>
      <c r="H5" s="11">
        <f>AVERAGE(Table1[[#This Row],[Tiempo1]:[Tiempo5]])</f>
        <v>0</v>
      </c>
      <c r="J5" s="2">
        <f>A8</f>
        <v>0.6</v>
      </c>
      <c r="K5" s="3">
        <f>H8</f>
        <v>221.548</v>
      </c>
      <c r="L5" s="3">
        <f>H22</f>
        <v>27.350599999999996</v>
      </c>
    </row>
    <row r="6" spans="1:12">
      <c r="A6" s="2">
        <v>0.4</v>
      </c>
      <c r="B6" s="3">
        <f>Table1[[#This Row],[Porcentaje de la muestra]]*100000</f>
        <v>40000</v>
      </c>
      <c r="C6" s="3">
        <v>115.1</v>
      </c>
      <c r="D6" s="3">
        <v>99.64</v>
      </c>
      <c r="E6" s="3">
        <v>98.92</v>
      </c>
      <c r="F6" s="3">
        <v>102.69</v>
      </c>
      <c r="G6" s="3">
        <v>101.14</v>
      </c>
      <c r="H6" s="11">
        <f>AVERAGE(Table1[[#This Row],[Tiempo1]:[Tiempo5]])</f>
        <v>103.498</v>
      </c>
      <c r="J6" s="2">
        <f>A10</f>
        <v>0.8</v>
      </c>
      <c r="K6" s="3">
        <f>H10</f>
        <v>378.28</v>
      </c>
      <c r="L6" s="3">
        <f>H24</f>
        <v>35.538800000000002</v>
      </c>
    </row>
    <row r="7" spans="1:12">
      <c r="A7" s="9">
        <v>0.5</v>
      </c>
      <c r="B7" s="10">
        <f>Table1[[#This Row],[Porcentaje de la muestra]]*100000</f>
        <v>50000</v>
      </c>
      <c r="C7" s="10">
        <v>0</v>
      </c>
      <c r="D7" s="10">
        <v>0</v>
      </c>
      <c r="E7" s="10">
        <v>0</v>
      </c>
      <c r="F7" s="10">
        <v>0</v>
      </c>
      <c r="G7" s="10">
        <v>0</v>
      </c>
      <c r="H7" s="11">
        <f>AVERAGE(Table1[[#This Row],[Tiempo1]:[Tiempo5]])</f>
        <v>0</v>
      </c>
      <c r="J7" s="2">
        <f>A12</f>
        <v>1</v>
      </c>
      <c r="K7" s="3">
        <f>H12</f>
        <v>603.17999999999995</v>
      </c>
      <c r="L7" s="3">
        <f>H26</f>
        <v>46.415999999999997</v>
      </c>
    </row>
    <row r="8" spans="1:12">
      <c r="A8" s="2">
        <v>0.6</v>
      </c>
      <c r="B8" s="3">
        <f>Table1[[#This Row],[Porcentaje de la muestra]]*100000</f>
        <v>60000</v>
      </c>
      <c r="C8" s="3">
        <v>222.91</v>
      </c>
      <c r="D8" s="3">
        <v>222.02</v>
      </c>
      <c r="E8" s="3">
        <v>221.95</v>
      </c>
      <c r="F8" s="3">
        <v>216.02</v>
      </c>
      <c r="G8" s="3">
        <v>224.84</v>
      </c>
      <c r="H8" s="11">
        <f>AVERAGE(Table1[[#This Row],[Tiempo1]:[Tiempo5]])</f>
        <v>221.548</v>
      </c>
    </row>
    <row r="9" spans="1:12">
      <c r="A9" s="9">
        <v>0.7</v>
      </c>
      <c r="B9" s="10">
        <f>Table1[[#This Row],[Porcentaje de la muestra]]*100000</f>
        <v>70000</v>
      </c>
      <c r="C9" s="10">
        <v>0</v>
      </c>
      <c r="D9" s="10">
        <v>0</v>
      </c>
      <c r="E9" s="10">
        <v>0</v>
      </c>
      <c r="F9" s="10">
        <v>0</v>
      </c>
      <c r="G9" s="10">
        <v>0</v>
      </c>
      <c r="H9" s="11">
        <f>AVERAGE(Table1[[#This Row],[Tiempo1]:[Tiempo5]])</f>
        <v>0</v>
      </c>
    </row>
    <row r="10" spans="1:12">
      <c r="A10" s="2">
        <v>0.8</v>
      </c>
      <c r="B10" s="3">
        <f>Table1[[#This Row],[Porcentaje de la muestra]]*100000</f>
        <v>80000</v>
      </c>
      <c r="C10" s="3">
        <v>378.83</v>
      </c>
      <c r="D10" s="3">
        <v>381.98</v>
      </c>
      <c r="E10" s="3">
        <v>379.06</v>
      </c>
      <c r="F10" s="3">
        <v>378.96</v>
      </c>
      <c r="G10" s="3">
        <v>372.57</v>
      </c>
      <c r="H10" s="11">
        <f>AVERAGE(Table1[[#This Row],[Tiempo1]:[Tiempo5]])</f>
        <v>378.28</v>
      </c>
    </row>
    <row r="11" spans="1:12">
      <c r="A11" s="9">
        <v>0.9</v>
      </c>
      <c r="B11" s="10">
        <f>Table1[[#This Row],[Porcentaje de la muestra]]*100000</f>
        <v>90000</v>
      </c>
      <c r="C11" s="10">
        <v>0</v>
      </c>
      <c r="D11" s="10">
        <v>0</v>
      </c>
      <c r="E11" s="10">
        <v>0</v>
      </c>
      <c r="F11" s="10">
        <v>0</v>
      </c>
      <c r="G11" s="10">
        <v>0</v>
      </c>
      <c r="H11" s="11">
        <f>AVERAGE(Table1[[#This Row],[Tiempo1]:[Tiempo5]])</f>
        <v>0</v>
      </c>
    </row>
    <row r="12" spans="1:12">
      <c r="A12" s="2">
        <v>1</v>
      </c>
      <c r="B12" s="3">
        <f>Table1[[#This Row],[Porcentaje de la muestra]]*100000</f>
        <v>100000</v>
      </c>
      <c r="C12" s="3">
        <v>599.92999999999995</v>
      </c>
      <c r="D12" s="3">
        <v>588.27</v>
      </c>
      <c r="E12" s="3" t="s">
        <v>22</v>
      </c>
      <c r="F12" s="3">
        <v>621.34</v>
      </c>
      <c r="G12" s="3" t="s">
        <v>23</v>
      </c>
      <c r="H12" s="11">
        <f>AVERAGE(Table1[[#This Row],[Tiempo1]:[Tiempo5]])</f>
        <v>603.17999999999995</v>
      </c>
    </row>
    <row r="13" spans="1:12">
      <c r="A13" s="2"/>
      <c r="B13" s="3"/>
      <c r="C13" s="4"/>
      <c r="D13" s="4"/>
      <c r="E13" s="4"/>
      <c r="F13" s="4"/>
      <c r="G13" s="4"/>
      <c r="H13" s="4"/>
    </row>
    <row r="15" spans="1:12" ht="14.25" customHeight="1">
      <c r="C15" s="14" t="s">
        <v>9</v>
      </c>
      <c r="D15" s="14"/>
      <c r="E15" s="14"/>
      <c r="F15" s="14"/>
      <c r="G15" s="14"/>
      <c r="H15" s="14"/>
    </row>
    <row r="16" spans="1:12" s="5" customFormat="1" ht="27.6">
      <c r="A16" s="4" t="s">
        <v>1</v>
      </c>
      <c r="B16" s="4" t="s">
        <v>2</v>
      </c>
      <c r="C16" s="4" t="s">
        <v>10</v>
      </c>
      <c r="D16" s="4" t="s">
        <v>11</v>
      </c>
      <c r="E16" s="4" t="s">
        <v>12</v>
      </c>
      <c r="F16" s="4" t="s">
        <v>13</v>
      </c>
      <c r="G16" s="4" t="s">
        <v>14</v>
      </c>
      <c r="H16" s="4" t="s">
        <v>15</v>
      </c>
    </row>
    <row r="17" spans="1:8" s="5" customFormat="1" ht="13.8">
      <c r="A17" s="9">
        <v>0.1</v>
      </c>
      <c r="B17" s="10">
        <f>Table13[[#This Row],[Porcentaje de la muestra]]*100000</f>
        <v>10000</v>
      </c>
      <c r="C17" s="10">
        <v>0</v>
      </c>
      <c r="D17" s="10">
        <v>0</v>
      </c>
      <c r="E17" s="10">
        <v>0</v>
      </c>
      <c r="F17" s="10">
        <v>0</v>
      </c>
      <c r="G17" s="10">
        <v>0</v>
      </c>
      <c r="H17" s="11">
        <f>AVERAGE(Table13[[#This Row],[Tiempo 1]:[Tiempo 5]])</f>
        <v>0</v>
      </c>
    </row>
    <row r="18" spans="1:8" s="5" customFormat="1" ht="13.8">
      <c r="A18" s="2">
        <v>0.2</v>
      </c>
      <c r="B18" s="3">
        <f>Table13[[#This Row],[Porcentaje de la muestra]]*100000</f>
        <v>20000</v>
      </c>
      <c r="C18" s="3">
        <v>9.5289999999999999</v>
      </c>
      <c r="D18" s="3">
        <v>8.5459999999999994</v>
      </c>
      <c r="E18" s="3">
        <v>9.4499999999999993</v>
      </c>
      <c r="F18" s="3">
        <v>9.9779999999999998</v>
      </c>
      <c r="G18" s="3">
        <v>8.8369999999999997</v>
      </c>
      <c r="H18" s="11">
        <f>AVERAGE(Table13[[#This Row],[Tiempo 1]:[Tiempo 5]])</f>
        <v>9.2680000000000007</v>
      </c>
    </row>
    <row r="19" spans="1:8">
      <c r="A19" s="9">
        <v>0.3</v>
      </c>
      <c r="B19" s="10">
        <f>Table13[[#This Row],[Porcentaje de la muestra]]*100000</f>
        <v>30000</v>
      </c>
      <c r="C19" s="10">
        <v>0</v>
      </c>
      <c r="D19" s="10">
        <v>0</v>
      </c>
      <c r="E19" s="10">
        <v>0</v>
      </c>
      <c r="F19" s="10">
        <v>0</v>
      </c>
      <c r="G19" s="10">
        <v>0</v>
      </c>
      <c r="H19" s="11">
        <f>AVERAGE(Table13[[#This Row],[Tiempo 1]:[Tiempo 5]])</f>
        <v>0</v>
      </c>
    </row>
    <row r="20" spans="1:8">
      <c r="A20" s="2">
        <v>0.4</v>
      </c>
      <c r="B20" s="3">
        <f>Table13[[#This Row],[Porcentaje de la muestra]]*100000</f>
        <v>40000</v>
      </c>
      <c r="C20" s="3">
        <v>18.713999999999999</v>
      </c>
      <c r="D20" s="3">
        <v>17.748999999999999</v>
      </c>
      <c r="E20" s="3">
        <v>17.98</v>
      </c>
      <c r="F20" s="3">
        <v>18.678999999999998</v>
      </c>
      <c r="G20" s="3">
        <v>18.216000000000001</v>
      </c>
      <c r="H20" s="11">
        <f>AVERAGE(Table13[[#This Row],[Tiempo 1]:[Tiempo 5]])</f>
        <v>18.267599999999998</v>
      </c>
    </row>
    <row r="21" spans="1:8">
      <c r="A21" s="9">
        <v>0.5</v>
      </c>
      <c r="B21" s="10">
        <f>Table13[[#This Row],[Porcentaje de la muestra]]*100000</f>
        <v>50000</v>
      </c>
      <c r="C21" s="10">
        <v>0</v>
      </c>
      <c r="D21" s="10">
        <v>0</v>
      </c>
      <c r="E21" s="10">
        <v>0</v>
      </c>
      <c r="F21" s="10">
        <v>0</v>
      </c>
      <c r="G21" s="10">
        <v>0</v>
      </c>
      <c r="H21" s="11">
        <f>AVERAGE(Table13[[#This Row],[Tiempo 1]:[Tiempo 5]])</f>
        <v>0</v>
      </c>
    </row>
    <row r="22" spans="1:8">
      <c r="A22" s="2">
        <v>0.6</v>
      </c>
      <c r="B22" s="3">
        <f>Table13[[#This Row],[Porcentaje de la muestra]]*100000</f>
        <v>60000</v>
      </c>
      <c r="C22" s="3">
        <v>26.806000000000001</v>
      </c>
      <c r="D22" s="3">
        <v>30.42</v>
      </c>
      <c r="E22" s="3">
        <v>26.765000000000001</v>
      </c>
      <c r="F22" s="3">
        <v>24.817</v>
      </c>
      <c r="G22" s="3">
        <v>27.945</v>
      </c>
      <c r="H22" s="11">
        <f>AVERAGE(Table13[[#This Row],[Tiempo 1]:[Tiempo 5]])</f>
        <v>27.350599999999996</v>
      </c>
    </row>
    <row r="23" spans="1:8">
      <c r="A23" s="9">
        <v>0.7</v>
      </c>
      <c r="B23" s="10">
        <f>Table13[[#This Row],[Porcentaje de la muestra]]*100000</f>
        <v>70000</v>
      </c>
      <c r="C23" s="10">
        <v>0</v>
      </c>
      <c r="D23" s="10">
        <v>0</v>
      </c>
      <c r="E23" s="10">
        <v>0</v>
      </c>
      <c r="F23" s="10">
        <v>0</v>
      </c>
      <c r="G23" s="10">
        <v>0</v>
      </c>
      <c r="H23" s="11">
        <f>AVERAGE(Table13[[#This Row],[Tiempo 1]:[Tiempo 5]])</f>
        <v>0</v>
      </c>
    </row>
    <row r="24" spans="1:8">
      <c r="A24" s="2">
        <v>0.8</v>
      </c>
      <c r="B24" s="3">
        <f>Table13[[#This Row],[Porcentaje de la muestra]]*100000</f>
        <v>80000</v>
      </c>
      <c r="C24" s="3">
        <v>38.502000000000002</v>
      </c>
      <c r="D24" s="3">
        <v>35.200000000000003</v>
      </c>
      <c r="E24" s="3">
        <v>35.234000000000002</v>
      </c>
      <c r="F24" s="3">
        <v>33.264000000000003</v>
      </c>
      <c r="G24" s="3">
        <v>35.494</v>
      </c>
      <c r="H24" s="11">
        <f>AVERAGE(Table13[[#This Row],[Tiempo 1]:[Tiempo 5]])</f>
        <v>35.538800000000002</v>
      </c>
    </row>
    <row r="25" spans="1:8">
      <c r="A25" s="9">
        <v>0.9</v>
      </c>
      <c r="B25" s="10">
        <f>Table13[[#This Row],[Porcentaje de la muestra]]*100000</f>
        <v>90000</v>
      </c>
      <c r="C25" s="10">
        <v>0</v>
      </c>
      <c r="D25" s="10">
        <v>0</v>
      </c>
      <c r="E25" s="10">
        <v>0</v>
      </c>
      <c r="F25" s="10">
        <v>0</v>
      </c>
      <c r="G25" s="10">
        <v>0</v>
      </c>
      <c r="H25" s="11">
        <f>AVERAGE(Table13[[#This Row],[Tiempo 1]:[Tiempo 5]])</f>
        <v>0</v>
      </c>
    </row>
    <row r="26" spans="1:8">
      <c r="A26" s="2">
        <v>1</v>
      </c>
      <c r="B26" s="3">
        <f>Table13[[#This Row],[Porcentaje de la muestra]]*100000</f>
        <v>100000</v>
      </c>
      <c r="C26" s="3">
        <v>43.518000000000001</v>
      </c>
      <c r="D26" s="3">
        <v>45.469000000000001</v>
      </c>
      <c r="E26" s="3">
        <v>52.203000000000003</v>
      </c>
      <c r="F26" s="3">
        <v>47.171999999999997</v>
      </c>
      <c r="G26" s="3">
        <v>43.718000000000004</v>
      </c>
      <c r="H26" s="11">
        <f>AVERAGE(Table13[[#This Row],[Tiempo 1]:[Tiempo 5]])</f>
        <v>46.415999999999997</v>
      </c>
    </row>
    <row r="28" spans="1:8">
      <c r="A28"/>
    </row>
    <row r="29" spans="1:8">
      <c r="A29"/>
    </row>
  </sheetData>
  <mergeCells count="3">
    <mergeCell ref="C1:H1"/>
    <mergeCell ref="C15:H15"/>
    <mergeCell ref="J1:L1"/>
  </mergeCells>
  <phoneticPr fontId="6"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AD320-7E14-4249-AED7-A0983CAA46F0}">
  <sheetPr>
    <tabColor theme="4" tint="0.79998168889431442"/>
  </sheetPr>
  <dimension ref="A1:B4"/>
  <sheetViews>
    <sheetView topLeftCell="A2" workbookViewId="0">
      <selection activeCell="C4" sqref="C4"/>
    </sheetView>
  </sheetViews>
  <sheetFormatPr baseColWidth="10" defaultColWidth="11.44140625" defaultRowHeight="14.4"/>
  <cols>
    <col min="1" max="1" width="61.77734375" customWidth="1"/>
    <col min="2" max="2" width="90.44140625" customWidth="1"/>
  </cols>
  <sheetData>
    <row r="1" spans="1:2">
      <c r="A1" s="7" t="s">
        <v>16</v>
      </c>
      <c r="B1" s="7" t="s">
        <v>17</v>
      </c>
    </row>
    <row r="2" spans="1:2" ht="214.95" customHeight="1">
      <c r="A2" s="8" t="s">
        <v>18</v>
      </c>
      <c r="B2" s="12" t="s">
        <v>24</v>
      </c>
    </row>
    <row r="3" spans="1:2" ht="255" customHeight="1">
      <c r="A3" s="8" t="s">
        <v>19</v>
      </c>
      <c r="B3" s="12" t="s">
        <v>25</v>
      </c>
    </row>
    <row r="4" spans="1:2" ht="240" customHeight="1">
      <c r="A4" s="8" t="s">
        <v>20</v>
      </c>
      <c r="B4" s="12" t="s">
        <v>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3858CF01A2EF24688B692775F4C60A4" ma:contentTypeVersion="17" ma:contentTypeDescription="Crear nuevo documento." ma:contentTypeScope="" ma:versionID="39f2afe36700b83939ba6e49cc253596">
  <xsd:schema xmlns:xsd="http://www.w3.org/2001/XMLSchema" xmlns:xs="http://www.w3.org/2001/XMLSchema" xmlns:p="http://schemas.microsoft.com/office/2006/metadata/properties" xmlns:ns2="164883f8-7691-4ecf-b54a-664c0d0edefe" xmlns:ns3="85e30bcc-d76c-4413-8e4d-2dce22fb0743" targetNamespace="http://schemas.microsoft.com/office/2006/metadata/properties" ma:root="true" ma:fieldsID="24098648399639f58895cd89d20500e6" ns2:_="" ns3:_="">
    <xsd:import namespace="164883f8-7691-4ecf-b54a-664c0d0edefe"/>
    <xsd:import namespace="85e30bcc-d76c-4413-8e4d-2dce22fb074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4883f8-7691-4ecf-b54a-664c0d0ede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a38e7027-190f-4f90-8839-9f8250567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e30bcc-d76c-4413-8e4d-2dce22fb0743"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26816d37-b675-4589-8225-e6a38877c704}" ma:internalName="TaxCatchAll" ma:showField="CatchAllData" ma:web="85e30bcc-d76c-4413-8e4d-2dce22fb07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85e30bcc-d76c-4413-8e4d-2dce22fb0743">
      <UserInfo>
        <DisplayName>Carlos Andres Lozano Garzon</DisplayName>
        <AccountId>13</AccountId>
        <AccountType/>
      </UserInfo>
      <UserInfo>
        <DisplayName>Dario Ernesto Correal Torres</DisplayName>
        <AccountId>15</AccountId>
        <AccountType/>
      </UserInfo>
      <UserInfo>
        <DisplayName>Mario  Fernando De la rosa Rosero</DisplayName>
        <AccountId>16</AccountId>
        <AccountType/>
      </UserInfo>
      <UserInfo>
        <DisplayName>Christian Camilo Aparicio Baquen</DisplayName>
        <AccountId>50</AccountId>
        <AccountType/>
      </UserInfo>
      <UserInfo>
        <DisplayName>Arturo Henao Chaparro</DisplayName>
        <AccountId>48</AccountId>
        <AccountType/>
      </UserInfo>
      <UserInfo>
        <DisplayName>Luis Esteban Florez Salamanca</DisplayName>
        <AccountId>33</AccountId>
        <AccountType/>
      </UserInfo>
      <UserInfo>
        <DisplayName>Ivan David Salazar Cardenas</DisplayName>
        <AccountId>52</AccountId>
        <AccountType/>
      </UserInfo>
      <UserInfo>
        <DisplayName>Juan Carlos Marin Morales</DisplayName>
        <AccountId>53</AccountId>
        <AccountType/>
      </UserInfo>
      <UserInfo>
        <DisplayName>Sofia Duque Gomez</DisplayName>
        <AccountId>60</AccountId>
        <AccountType/>
      </UserInfo>
      <UserInfo>
        <DisplayName>Andres Felipe Romero Brand</DisplayName>
        <AccountId>91</AccountId>
        <AccountType/>
      </UserInfo>
      <UserInfo>
        <DisplayName>Lindsay Vanessa Pinto Morato</DisplayName>
        <AccountId>92</AccountId>
        <AccountType/>
      </UserInfo>
      <UserInfo>
        <DisplayName>Miguel Angel Acosta Walteros</DisplayName>
        <AccountId>94</AccountId>
        <AccountType/>
      </UserInfo>
      <UserInfo>
        <DisplayName>Juan David Diaz Ipuz</DisplayName>
        <AccountId>90</AccountId>
        <AccountType/>
      </UserInfo>
      <UserInfo>
        <DisplayName>Lily Aitana valentina Duque Chavez</DisplayName>
        <AccountId>17</AccountId>
        <AccountType/>
      </UserInfo>
      <UserInfo>
        <DisplayName>Isaac David Bermudez Lara</DisplayName>
        <AccountId>95</AccountId>
        <AccountType/>
      </UserInfo>
      <UserInfo>
        <DisplayName>Daniel Alejandro Angel Fuertes</DisplayName>
        <AccountId>55</AccountId>
        <AccountType/>
      </UserInfo>
      <UserInfo>
        <DisplayName>Jeniffer Liliam Mendoza Espinosa</DisplayName>
        <AccountId>97</AccountId>
        <AccountType/>
      </UserInfo>
      <UserInfo>
        <DisplayName>Kevin Cohen Solano</DisplayName>
        <AccountId>93</AccountId>
        <AccountType/>
      </UserInfo>
      <UserInfo>
        <DisplayName>Cesar Luis Moreno Gonzalez</DisplayName>
        <AccountId>96</AccountId>
        <AccountType/>
      </UserInfo>
      <UserInfo>
        <DisplayName>Jose Cristobal Arroyo Castellanos</DisplayName>
        <AccountId>54</AccountId>
        <AccountType/>
      </UserInfo>
    </SharedWithUsers>
    <TaxCatchAll xmlns="85e30bcc-d76c-4413-8e4d-2dce22fb0743" xsi:nil="true"/>
    <lcf76f155ced4ddcb4097134ff3c332f xmlns="164883f8-7691-4ecf-b54a-664c0d0edef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8DF3742-38F2-4B99-B335-CC4F04ED9F45}">
  <ds:schemaRefs>
    <ds:schemaRef ds:uri="http://schemas.microsoft.com/sharepoint/v3/contenttype/forms"/>
  </ds:schemaRefs>
</ds:datastoreItem>
</file>

<file path=customXml/itemProps2.xml><?xml version="1.0" encoding="utf-8"?>
<ds:datastoreItem xmlns:ds="http://schemas.openxmlformats.org/officeDocument/2006/customXml" ds:itemID="{5782CBBC-05AF-4A6B-A1AF-29EFB37A75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4883f8-7691-4ecf-b54a-664c0d0edefe"/>
    <ds:schemaRef ds:uri="85e30bcc-d76c-4413-8e4d-2dce22fb07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C5E1E0-C817-4769-9D2D-1DC296B681FA}">
  <ds:schemaRefs>
    <ds:schemaRef ds:uri="http://schemas.microsoft.com/office/2006/metadata/properties"/>
    <ds:schemaRef ds:uri="http://schemas.microsoft.com/office/infopath/2007/PartnerControls"/>
    <ds:schemaRef ds:uri="85e30bcc-d76c-4413-8e4d-2dce22fb0743"/>
    <ds:schemaRef ds:uri="164883f8-7691-4ecf-b54a-664c0d0ede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Gráficos</vt:lpstr>
      </vt:variant>
      <vt:variant>
        <vt:i4>1</vt:i4>
      </vt:variant>
    </vt:vector>
  </HeadingPairs>
  <TitlesOfParts>
    <vt:vector size="3" baseType="lpstr">
      <vt:lpstr>01-Data Req. 4</vt:lpstr>
      <vt:lpstr>03-Análisis Req. 4</vt:lpstr>
      <vt:lpstr>02-Gráfica Req.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Santiago Felipe Arteaga Martin</dc:creator>
  <cp:keywords/>
  <dc:description/>
  <cp:lastModifiedBy>Thomas Sanchez</cp:lastModifiedBy>
  <cp:revision/>
  <dcterms:created xsi:type="dcterms:W3CDTF">2021-02-18T03:17:26Z</dcterms:created>
  <dcterms:modified xsi:type="dcterms:W3CDTF">2026-10-15T00:46:00Z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0x01010023858CF01A2EF24688B692775F4C60A4</vt:lpwstr>
  </property>
  <property fmtid="{D5CDD505-2E9C-101B-9397-08002B2CF9AE}" pid="3" name="MediaServiceImageTags">
    <vt:lpwstr/>
  </property>
</Properties>
</file>